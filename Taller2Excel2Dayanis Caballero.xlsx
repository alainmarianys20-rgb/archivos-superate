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xr:revisionPtr revIDLastSave="0" documentId="13_ncr:1_{6BD17029-B13F-4348-B13B-79AA98BD1AE0}" xr6:coauthVersionLast="47" xr6:coauthVersionMax="47" xr10:uidLastSave="{00000000-0000-0000-0000-000000000000}"/>
  <bookViews>
    <workbookView xWindow="-110" yWindow="-110" windowWidth="19420" windowHeight="11500" xr2:uid="{714AAA05-BF3D-4768-A973-7CC21F2AC748}"/>
  </bookViews>
  <sheets>
    <sheet name="Hoja1" sheetId="1" r:id="rId1"/>
    <sheet name="Grafic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1" l="1"/>
  <c r="O19" i="1"/>
  <c r="P19" i="1"/>
  <c r="Q19" i="1"/>
  <c r="R19" i="1"/>
  <c r="S19" i="1"/>
  <c r="T19" i="1"/>
  <c r="O18" i="1"/>
  <c r="P18" i="1"/>
  <c r="Q18" i="1"/>
  <c r="R18" i="1"/>
  <c r="S18" i="1"/>
  <c r="T18" i="1"/>
  <c r="O17" i="1"/>
  <c r="P17" i="1"/>
  <c r="Q17" i="1"/>
  <c r="R17" i="1"/>
  <c r="S17" i="1"/>
  <c r="T17" i="1"/>
  <c r="N19" i="1"/>
  <c r="N18" i="1"/>
  <c r="N17" i="1"/>
  <c r="T5" i="1"/>
  <c r="T6" i="1"/>
  <c r="T7" i="1"/>
  <c r="T8" i="1"/>
  <c r="T9" i="1"/>
  <c r="T10" i="1"/>
  <c r="T11" i="1"/>
  <c r="T12" i="1"/>
  <c r="T13" i="1"/>
  <c r="T14" i="1"/>
  <c r="T4" i="1"/>
  <c r="R5" i="1"/>
  <c r="R6" i="1"/>
  <c r="R7" i="1"/>
  <c r="R8" i="1"/>
  <c r="R9" i="1"/>
  <c r="R10" i="1"/>
  <c r="R11" i="1"/>
  <c r="R12" i="1"/>
  <c r="R13" i="1"/>
  <c r="R14" i="1"/>
  <c r="R4" i="1"/>
  <c r="D25" i="1"/>
  <c r="D24" i="1"/>
  <c r="E22" i="1"/>
  <c r="F22" i="1"/>
  <c r="G22" i="1"/>
  <c r="H22" i="1"/>
  <c r="I22" i="1"/>
  <c r="D22" i="1"/>
  <c r="E21" i="1"/>
  <c r="F21" i="1"/>
  <c r="G21" i="1"/>
  <c r="H21" i="1"/>
  <c r="I21" i="1"/>
  <c r="D21" i="1"/>
  <c r="I16" i="1"/>
  <c r="I17" i="1"/>
  <c r="I18" i="1"/>
  <c r="I19" i="1"/>
  <c r="I20" i="1"/>
  <c r="I15" i="1"/>
  <c r="H16" i="1"/>
  <c r="H17" i="1"/>
  <c r="H18" i="1"/>
  <c r="H19" i="1"/>
  <c r="H20" i="1"/>
  <c r="H15" i="1"/>
  <c r="I11" i="1"/>
  <c r="H11" i="1"/>
  <c r="I10" i="1"/>
  <c r="H10" i="1"/>
  <c r="E11" i="1"/>
  <c r="F11" i="1"/>
  <c r="G11" i="1"/>
  <c r="D11" i="1"/>
  <c r="E10" i="1"/>
  <c r="F10" i="1"/>
  <c r="G10" i="1"/>
  <c r="D10" i="1"/>
  <c r="I6" i="1"/>
  <c r="I7" i="1"/>
  <c r="I8" i="1"/>
  <c r="I9" i="1"/>
  <c r="I5" i="1"/>
  <c r="H5" i="1"/>
  <c r="H6" i="1"/>
  <c r="H7" i="1"/>
  <c r="H8" i="1"/>
  <c r="H9" i="1"/>
</calcChain>
</file>

<file path=xl/sharedStrings.xml><?xml version="1.0" encoding="utf-8"?>
<sst xmlns="http://schemas.openxmlformats.org/spreadsheetml/2006/main" count="71" uniqueCount="47">
  <si>
    <t xml:space="preserve">Grupo A </t>
  </si>
  <si>
    <t>Fata de la primera evaluacion</t>
  </si>
  <si>
    <t>Septiembre</t>
  </si>
  <si>
    <t>TOTAL</t>
  </si>
  <si>
    <t>MEDIA</t>
  </si>
  <si>
    <t>Artigues,Rosa</t>
  </si>
  <si>
    <t>Bonnin,Isabel</t>
  </si>
  <si>
    <t>Cascos Alberto</t>
  </si>
  <si>
    <t>Dalmau,Gerardo</t>
  </si>
  <si>
    <t>Torrens,Ana</t>
  </si>
  <si>
    <t>N° Maximos de faltas</t>
  </si>
  <si>
    <t>N° Minimos de faltas</t>
  </si>
  <si>
    <t>Grupo B</t>
  </si>
  <si>
    <t>Alvares,Sara</t>
  </si>
  <si>
    <t>Armengol,Clara</t>
  </si>
  <si>
    <t>Lendinez,bartomeu</t>
  </si>
  <si>
    <t>Santandreu,Vicente</t>
  </si>
  <si>
    <t>Santos,Marisol</t>
  </si>
  <si>
    <t>Faltas de la primera evaluacion</t>
  </si>
  <si>
    <t>Noviembre</t>
  </si>
  <si>
    <t>Diciembre</t>
  </si>
  <si>
    <t>Octubre</t>
  </si>
  <si>
    <t>Viyuela,Agripina</t>
  </si>
  <si>
    <t>MEDIA GLOBAL</t>
  </si>
  <si>
    <t>TOTAL DE FALTAS</t>
  </si>
  <si>
    <t>GRUPO A</t>
  </si>
  <si>
    <t>GRUPO B</t>
  </si>
  <si>
    <t>Notas</t>
  </si>
  <si>
    <t>Ej. 1</t>
  </si>
  <si>
    <t>EJ. 2</t>
  </si>
  <si>
    <t>Ej.3</t>
  </si>
  <si>
    <t xml:space="preserve">Ej. 4 </t>
  </si>
  <si>
    <t>Ejs clase</t>
  </si>
  <si>
    <t>Nota ev.</t>
  </si>
  <si>
    <t>Nota ex.</t>
  </si>
  <si>
    <t>MAXIMAS</t>
  </si>
  <si>
    <t>MINIMAS</t>
  </si>
  <si>
    <t>ALUMNOS PRESENTADOS</t>
  </si>
  <si>
    <t>Alicante</t>
  </si>
  <si>
    <t>jijona</t>
  </si>
  <si>
    <t>Yema</t>
  </si>
  <si>
    <t>Light</t>
  </si>
  <si>
    <t>normal</t>
  </si>
  <si>
    <t>Normal</t>
  </si>
  <si>
    <t>2006-07</t>
  </si>
  <si>
    <t>2007-08</t>
  </si>
  <si>
    <t>2008-09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</si>
</sst>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 tint="4.9989318521683403E-2"/>
      </left>
      <right style="thin">
        <color indexed="64"/>
      </right>
      <top style="medium">
        <color theme="1" tint="4.9989318521683403E-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4.9989318521683403E-2"/>
      </top>
      <bottom style="thin">
        <color indexed="64"/>
      </bottom>
      <diagonal/>
    </border>
    <border>
      <left style="medium">
        <color theme="1" tint="4.9989318521683403E-2"/>
      </left>
      <right style="thin">
        <color indexed="64"/>
      </right>
      <top style="thin">
        <color indexed="64"/>
      </top>
      <bottom style="medium">
        <color theme="1" tint="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medium">
        <color theme="1" tint="4.9989318521683403E-2"/>
      </left>
      <right style="thin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thin">
        <color indexed="64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thin">
        <color indexed="64"/>
      </top>
      <bottom style="medium">
        <color theme="1" tint="4.9989318521683403E-2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 tint="4.9989318521683403E-2"/>
      </right>
      <top style="thin">
        <color theme="0"/>
      </top>
      <bottom style="thin">
        <color theme="0"/>
      </bottom>
      <diagonal/>
    </border>
    <border>
      <left style="thin">
        <color theme="1" tint="4.9989318521683403E-2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0"/>
      </left>
      <right style="medium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thin">
        <color theme="0"/>
      </left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medium">
        <color theme="1" tint="4.9989318521683403E-2"/>
      </top>
      <bottom/>
      <diagonal/>
    </border>
    <border>
      <left/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0"/>
      </right>
      <top style="medium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 style="medium">
        <color theme="1" tint="4.9989318521683403E-2"/>
      </top>
      <bottom/>
      <diagonal/>
    </border>
    <border>
      <left style="thin">
        <color theme="0"/>
      </left>
      <right style="thin">
        <color theme="1" tint="4.9989318521683403E-2"/>
      </right>
      <top style="medium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0"/>
      </top>
      <bottom style="thin">
        <color theme="0"/>
      </bottom>
      <diagonal/>
    </border>
    <border>
      <left/>
      <right style="thin">
        <color theme="1" tint="4.9989318521683403E-2"/>
      </right>
      <top style="medium">
        <color theme="1" tint="4.9989318521683403E-2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3" borderId="1" xfId="0" applyFont="1" applyFill="1" applyBorder="1"/>
    <xf numFmtId="0" fontId="1" fillId="3" borderId="5" xfId="0" applyFont="1" applyFill="1" applyBorder="1"/>
    <xf numFmtId="0" fontId="1" fillId="3" borderId="15" xfId="0" applyFont="1" applyFill="1" applyBorder="1"/>
    <xf numFmtId="0" fontId="2" fillId="0" borderId="4" xfId="0" applyFont="1" applyBorder="1"/>
    <xf numFmtId="0" fontId="2" fillId="0" borderId="24" xfId="0" applyFont="1" applyBorder="1"/>
    <xf numFmtId="0" fontId="2" fillId="4" borderId="25" xfId="0" applyFont="1" applyFill="1" applyBorder="1"/>
    <xf numFmtId="0" fontId="2" fillId="4" borderId="26" xfId="0" applyFont="1" applyFill="1" applyBorder="1"/>
    <xf numFmtId="0" fontId="2" fillId="0" borderId="15" xfId="0" applyFont="1" applyBorder="1"/>
    <xf numFmtId="0" fontId="2" fillId="0" borderId="16" xfId="0" applyFont="1" applyBorder="1"/>
    <xf numFmtId="0" fontId="2" fillId="4" borderId="22" xfId="0" applyFont="1" applyFill="1" applyBorder="1"/>
    <xf numFmtId="0" fontId="2" fillId="4" borderId="23" xfId="0" applyFont="1" applyFill="1" applyBorder="1"/>
    <xf numFmtId="2" fontId="0" fillId="0" borderId="21" xfId="0" applyNumberFormat="1" applyBorder="1"/>
    <xf numFmtId="0" fontId="2" fillId="4" borderId="15" xfId="0" applyFont="1" applyFill="1" applyBorder="1"/>
    <xf numFmtId="0" fontId="2" fillId="4" borderId="15" xfId="0" applyFont="1" applyFill="1" applyBorder="1" applyAlignment="1">
      <alignment wrapText="1"/>
    </xf>
    <xf numFmtId="0" fontId="2" fillId="0" borderId="9" xfId="0" applyFont="1" applyBorder="1"/>
    <xf numFmtId="0" fontId="2" fillId="0" borderId="28" xfId="0" applyFont="1" applyBorder="1"/>
    <xf numFmtId="0" fontId="2" fillId="0" borderId="29" xfId="0" applyFont="1" applyBorder="1"/>
    <xf numFmtId="0" fontId="3" fillId="3" borderId="0" xfId="0" applyFont="1" applyFill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wrapText="1"/>
    </xf>
    <xf numFmtId="2" fontId="0" fillId="0" borderId="15" xfId="0" applyNumberFormat="1" applyBorder="1"/>
    <xf numFmtId="164" fontId="0" fillId="0" borderId="15" xfId="0" applyNumberFormat="1" applyBorder="1"/>
    <xf numFmtId="0" fontId="0" fillId="0" borderId="37" xfId="0" applyBorder="1"/>
    <xf numFmtId="0" fontId="0" fillId="5" borderId="37" xfId="0" applyFill="1" applyBorder="1"/>
    <xf numFmtId="0" fontId="0" fillId="0" borderId="38" xfId="0" applyBorder="1"/>
    <xf numFmtId="0" fontId="0" fillId="5" borderId="19" xfId="0" applyFill="1" applyBorder="1"/>
    <xf numFmtId="0" fontId="3" fillId="6" borderId="36" xfId="0" applyFont="1" applyFill="1" applyBorder="1"/>
    <xf numFmtId="0" fontId="3" fillId="6" borderId="42" xfId="0" applyFont="1" applyFill="1" applyBorder="1"/>
    <xf numFmtId="0" fontId="0" fillId="0" borderId="46" xfId="0" applyBorder="1"/>
    <xf numFmtId="0" fontId="3" fillId="6" borderId="35" xfId="0" applyFont="1" applyFill="1" applyBorder="1"/>
    <xf numFmtId="0" fontId="3" fillId="6" borderId="47" xfId="0" applyFont="1" applyFill="1" applyBorder="1"/>
    <xf numFmtId="0" fontId="3" fillId="6" borderId="34" xfId="0" applyFont="1" applyFill="1" applyBorder="1"/>
    <xf numFmtId="0" fontId="0" fillId="0" borderId="49" xfId="0" applyBorder="1"/>
    <xf numFmtId="0" fontId="3" fillId="3" borderId="3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 textRotation="90"/>
    </xf>
    <xf numFmtId="0" fontId="0" fillId="2" borderId="27" xfId="0" applyFill="1" applyBorder="1" applyAlignment="1">
      <alignment horizontal="center" vertical="center" textRotation="90"/>
    </xf>
    <xf numFmtId="0" fontId="0" fillId="2" borderId="30" xfId="0" applyFill="1" applyBorder="1" applyAlignment="1">
      <alignment horizontal="center" vertical="center" textRotation="90"/>
    </xf>
    <xf numFmtId="0" fontId="3" fillId="6" borderId="44" xfId="0" applyFont="1" applyFill="1" applyBorder="1" applyAlignment="1">
      <alignment horizontal="center"/>
    </xf>
    <xf numFmtId="0" fontId="3" fillId="6" borderId="43" xfId="0" applyFont="1" applyFill="1" applyBorder="1" applyAlignment="1">
      <alignment horizontal="center"/>
    </xf>
    <xf numFmtId="0" fontId="3" fillId="6" borderId="48" xfId="0" applyFont="1" applyFill="1" applyBorder="1" applyAlignment="1">
      <alignment horizontal="center"/>
    </xf>
    <xf numFmtId="0" fontId="3" fillId="6" borderId="41" xfId="0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0" fontId="3" fillId="6" borderId="39" xfId="0" applyFont="1" applyFill="1" applyBorder="1" applyAlignment="1">
      <alignment horizontal="center" vertical="center"/>
    </xf>
    <xf numFmtId="0" fontId="3" fillId="6" borderId="4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Grafico!$A$4:$A$6</c:f>
              <c:strCache>
                <c:ptCount val="3"/>
                <c:pt idx="0">
                  <c:v>2006-07</c:v>
                </c:pt>
                <c:pt idx="1">
                  <c:v>2007-08</c:v>
                </c:pt>
                <c:pt idx="2">
                  <c:v>2008-09</c:v>
                </c:pt>
              </c:strCache>
            </c:strRef>
          </c:cat>
          <c:val>
            <c:numRef>
              <c:f>Grafico!$B$4:$B$6</c:f>
              <c:numCache>
                <c:formatCode>General</c:formatCode>
                <c:ptCount val="3"/>
                <c:pt idx="0">
                  <c:v>32</c:v>
                </c:pt>
                <c:pt idx="1">
                  <c:v>45</c:v>
                </c:pt>
                <c:pt idx="2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C-4FC9-85BE-28EC35ADC99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Grafico!$A$4:$A$6</c:f>
              <c:strCache>
                <c:ptCount val="3"/>
                <c:pt idx="0">
                  <c:v>2006-07</c:v>
                </c:pt>
                <c:pt idx="1">
                  <c:v>2007-08</c:v>
                </c:pt>
                <c:pt idx="2">
                  <c:v>2008-09</c:v>
                </c:pt>
              </c:strCache>
            </c:strRef>
          </c:cat>
          <c:val>
            <c:numRef>
              <c:f>Grafico!$C$4:$C$6</c:f>
              <c:numCache>
                <c:formatCode>General</c:formatCode>
                <c:ptCount val="3"/>
                <c:pt idx="0">
                  <c:v>250</c:v>
                </c:pt>
                <c:pt idx="1">
                  <c:v>236</c:v>
                </c:pt>
                <c:pt idx="2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6C-4FC9-85BE-28EC35ADC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6281311"/>
        <c:axId val="1956282751"/>
      </c:lineChart>
      <c:catAx>
        <c:axId val="195628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282751"/>
        <c:crosses val="autoZero"/>
        <c:auto val="1"/>
        <c:lblAlgn val="ctr"/>
        <c:lblOffset val="100"/>
        <c:noMultiLvlLbl val="0"/>
      </c:catAx>
      <c:valAx>
        <c:axId val="195628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28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</xdr:colOff>
      <xdr:row>2</xdr:row>
      <xdr:rowOff>12700</xdr:rowOff>
    </xdr:from>
    <xdr:to>
      <xdr:col>16</xdr:col>
      <xdr:colOff>307975</xdr:colOff>
      <xdr:row>16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DA683C-8C82-CB9E-866C-77D2E8815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A0D8-B37A-43D6-9D27-78B495FF646C}">
  <dimension ref="C2:T25"/>
  <sheetViews>
    <sheetView tabSelected="1" zoomScale="80" zoomScaleNormal="80" workbookViewId="0">
      <selection activeCell="F34" sqref="F34"/>
    </sheetView>
  </sheetViews>
  <sheetFormatPr defaultRowHeight="14.5" x14ac:dyDescent="0.35"/>
  <cols>
    <col min="3" max="3" width="20.36328125" customWidth="1"/>
    <col min="4" max="4" width="11.6328125" customWidth="1"/>
    <col min="5" max="5" width="10.7265625" customWidth="1"/>
    <col min="6" max="6" width="12.453125" customWidth="1"/>
    <col min="7" max="7" width="14.7265625" customWidth="1"/>
    <col min="8" max="8" width="11.36328125" customWidth="1"/>
    <col min="9" max="9" width="13.54296875" customWidth="1"/>
    <col min="13" max="13" width="17.7265625" customWidth="1"/>
    <col min="18" max="18" width="6.90625" customWidth="1"/>
    <col min="19" max="19" width="7.26953125" customWidth="1"/>
    <col min="20" max="20" width="8.81640625" customWidth="1"/>
  </cols>
  <sheetData>
    <row r="2" spans="3:20" ht="14.5" customHeight="1" thickBot="1" x14ac:dyDescent="0.4">
      <c r="N2" s="49" t="s">
        <v>27</v>
      </c>
      <c r="O2" s="49"/>
      <c r="P2" s="49"/>
      <c r="Q2" s="49"/>
      <c r="R2" s="49"/>
      <c r="S2" s="49"/>
      <c r="T2" s="49"/>
    </row>
    <row r="3" spans="3:20" ht="29.5" customHeight="1" thickBot="1" x14ac:dyDescent="0.4">
      <c r="C3" s="52" t="s">
        <v>0</v>
      </c>
      <c r="D3" s="50" t="s">
        <v>1</v>
      </c>
      <c r="E3" s="50"/>
      <c r="F3" s="50"/>
      <c r="G3" s="50"/>
      <c r="H3" s="50"/>
      <c r="I3" s="51"/>
      <c r="N3" s="33" t="s">
        <v>28</v>
      </c>
      <c r="O3" s="34" t="s">
        <v>29</v>
      </c>
      <c r="P3" s="34" t="s">
        <v>30</v>
      </c>
      <c r="Q3" s="33" t="s">
        <v>31</v>
      </c>
      <c r="R3" s="35" t="s">
        <v>34</v>
      </c>
      <c r="S3" s="35" t="s">
        <v>32</v>
      </c>
      <c r="T3" s="35" t="s">
        <v>33</v>
      </c>
    </row>
    <row r="4" spans="3:20" x14ac:dyDescent="0.35">
      <c r="C4" s="53"/>
      <c r="D4" s="16" t="s">
        <v>2</v>
      </c>
      <c r="E4" s="16" t="s">
        <v>21</v>
      </c>
      <c r="F4" s="16" t="s">
        <v>19</v>
      </c>
      <c r="G4" s="16" t="s">
        <v>20</v>
      </c>
      <c r="H4" s="16" t="s">
        <v>3</v>
      </c>
      <c r="I4" s="17" t="s">
        <v>4</v>
      </c>
      <c r="L4" s="57" t="s">
        <v>25</v>
      </c>
      <c r="M4" s="30" t="s">
        <v>5</v>
      </c>
      <c r="N4" s="9">
        <v>1</v>
      </c>
      <c r="O4" s="9">
        <v>0.5</v>
      </c>
      <c r="P4" s="9">
        <v>0.25</v>
      </c>
      <c r="Q4" s="9">
        <v>1.5</v>
      </c>
      <c r="R4" s="37">
        <f>SUM(N4:Q4)</f>
        <v>3.25</v>
      </c>
      <c r="S4" s="9">
        <v>5.5</v>
      </c>
      <c r="T4" s="37">
        <f>AVERAGE(R4:S4)</f>
        <v>4.375</v>
      </c>
    </row>
    <row r="5" spans="3:20" x14ac:dyDescent="0.35">
      <c r="C5" s="19" t="s">
        <v>5</v>
      </c>
      <c r="D5" s="1">
        <v>2</v>
      </c>
      <c r="E5" s="1">
        <v>4</v>
      </c>
      <c r="F5" s="1">
        <v>3</v>
      </c>
      <c r="G5" s="1">
        <v>6</v>
      </c>
      <c r="H5" s="1">
        <f>SUM(D5:G5)</f>
        <v>15</v>
      </c>
      <c r="I5" s="2">
        <f>AVERAGE(D5:G5)</f>
        <v>3.75</v>
      </c>
      <c r="L5" s="58"/>
      <c r="M5" s="30" t="s">
        <v>6</v>
      </c>
      <c r="N5" s="9">
        <v>2.5</v>
      </c>
      <c r="O5" s="9">
        <v>1.75</v>
      </c>
      <c r="P5" s="9">
        <v>0.75</v>
      </c>
      <c r="Q5" s="9">
        <v>2</v>
      </c>
      <c r="R5" s="37">
        <f t="shared" ref="R5:R14" si="0">SUM(N5:Q5)</f>
        <v>7</v>
      </c>
      <c r="S5" s="9">
        <v>7</v>
      </c>
      <c r="T5" s="37">
        <f t="shared" ref="T5:T14" si="1">AVERAGE(R5:S5)</f>
        <v>7</v>
      </c>
    </row>
    <row r="6" spans="3:20" x14ac:dyDescent="0.35">
      <c r="C6" s="19" t="s">
        <v>6</v>
      </c>
      <c r="D6" s="1">
        <v>0</v>
      </c>
      <c r="E6" s="1">
        <v>0</v>
      </c>
      <c r="F6" s="1">
        <v>1</v>
      </c>
      <c r="G6" s="1">
        <v>0</v>
      </c>
      <c r="H6" s="1">
        <f t="shared" ref="H6:H9" si="2">SUM(D6:G6)</f>
        <v>1</v>
      </c>
      <c r="I6" s="2">
        <f t="shared" ref="I6:I9" si="3">AVERAGE(D6:G6)</f>
        <v>0.25</v>
      </c>
      <c r="L6" s="58"/>
      <c r="M6" s="30" t="s">
        <v>7</v>
      </c>
      <c r="N6" s="9"/>
      <c r="O6" s="9"/>
      <c r="P6" s="9"/>
      <c r="Q6" s="9"/>
      <c r="R6" s="37">
        <f t="shared" si="0"/>
        <v>0</v>
      </c>
      <c r="S6" s="9">
        <v>8</v>
      </c>
      <c r="T6" s="37">
        <f t="shared" si="1"/>
        <v>4</v>
      </c>
    </row>
    <row r="7" spans="3:20" x14ac:dyDescent="0.35">
      <c r="C7" s="19" t="s">
        <v>7</v>
      </c>
      <c r="D7" s="1">
        <v>1</v>
      </c>
      <c r="E7" s="1">
        <v>0</v>
      </c>
      <c r="F7" s="1">
        <v>1</v>
      </c>
      <c r="G7" s="1">
        <v>2</v>
      </c>
      <c r="H7" s="1">
        <f t="shared" si="2"/>
        <v>4</v>
      </c>
      <c r="I7" s="2">
        <f t="shared" si="3"/>
        <v>1</v>
      </c>
      <c r="L7" s="58"/>
      <c r="M7" s="30" t="s">
        <v>8</v>
      </c>
      <c r="N7" s="9">
        <v>2.5</v>
      </c>
      <c r="O7" s="9">
        <v>2.2999999999999998</v>
      </c>
      <c r="P7" s="9">
        <v>2.5</v>
      </c>
      <c r="Q7" s="9">
        <v>2</v>
      </c>
      <c r="R7" s="37">
        <f t="shared" si="0"/>
        <v>9.3000000000000007</v>
      </c>
      <c r="S7" s="9">
        <v>8.5</v>
      </c>
      <c r="T7" s="37">
        <f t="shared" si="1"/>
        <v>8.9</v>
      </c>
    </row>
    <row r="8" spans="3:20" x14ac:dyDescent="0.35">
      <c r="C8" s="19" t="s">
        <v>8</v>
      </c>
      <c r="D8" s="1">
        <v>4</v>
      </c>
      <c r="E8" s="1">
        <v>6</v>
      </c>
      <c r="F8" s="1">
        <v>8</v>
      </c>
      <c r="G8" s="1">
        <v>10</v>
      </c>
      <c r="H8" s="1">
        <f t="shared" si="2"/>
        <v>28</v>
      </c>
      <c r="I8" s="2">
        <f t="shared" si="3"/>
        <v>7</v>
      </c>
      <c r="L8" s="58"/>
      <c r="M8" s="31" t="s">
        <v>9</v>
      </c>
      <c r="N8" s="9">
        <v>0.25</v>
      </c>
      <c r="O8" s="9">
        <v>1</v>
      </c>
      <c r="P8" s="9">
        <v>1</v>
      </c>
      <c r="Q8" s="9">
        <v>0.75</v>
      </c>
      <c r="R8" s="37">
        <f t="shared" si="0"/>
        <v>3</v>
      </c>
      <c r="S8" s="9">
        <v>5</v>
      </c>
      <c r="T8" s="37">
        <f t="shared" si="1"/>
        <v>4</v>
      </c>
    </row>
    <row r="9" spans="3:20" ht="15" thickBot="1" x14ac:dyDescent="0.4">
      <c r="C9" s="20" t="s">
        <v>9</v>
      </c>
      <c r="D9" s="4">
        <v>0</v>
      </c>
      <c r="E9" s="4">
        <v>1</v>
      </c>
      <c r="F9" s="4">
        <v>2</v>
      </c>
      <c r="G9" s="4">
        <v>0</v>
      </c>
      <c r="H9" s="1">
        <f t="shared" si="2"/>
        <v>3</v>
      </c>
      <c r="I9" s="2">
        <f t="shared" si="3"/>
        <v>0.75</v>
      </c>
      <c r="L9" s="58" t="s">
        <v>26</v>
      </c>
      <c r="M9" s="32" t="s">
        <v>13</v>
      </c>
      <c r="N9" s="9">
        <v>2</v>
      </c>
      <c r="O9" s="9">
        <v>1</v>
      </c>
      <c r="P9" s="9">
        <v>1</v>
      </c>
      <c r="Q9" s="9">
        <v>1.5</v>
      </c>
      <c r="R9" s="37">
        <f t="shared" si="0"/>
        <v>5.5</v>
      </c>
      <c r="S9" s="9">
        <v>7.5</v>
      </c>
      <c r="T9" s="37">
        <f t="shared" si="1"/>
        <v>6.5</v>
      </c>
    </row>
    <row r="10" spans="3:20" x14ac:dyDescent="0.35">
      <c r="C10" s="21" t="s">
        <v>10</v>
      </c>
      <c r="D10" s="5">
        <f>MAX(D5:D9)</f>
        <v>4</v>
      </c>
      <c r="E10" s="5">
        <f t="shared" ref="E10:G10" si="4">MAX(E5:E9)</f>
        <v>6</v>
      </c>
      <c r="F10" s="5">
        <f t="shared" si="4"/>
        <v>8</v>
      </c>
      <c r="G10" s="5">
        <f t="shared" si="4"/>
        <v>10</v>
      </c>
      <c r="H10" s="6">
        <f>MAX(H5:H9)</f>
        <v>28</v>
      </c>
      <c r="I10" s="6">
        <f>MAX(I5:I9)</f>
        <v>7</v>
      </c>
      <c r="L10" s="58"/>
      <c r="M10" s="32" t="s">
        <v>14</v>
      </c>
      <c r="N10" s="9">
        <v>2.5</v>
      </c>
      <c r="O10" s="9">
        <v>1.5</v>
      </c>
      <c r="P10" s="9">
        <v>1.25</v>
      </c>
      <c r="Q10" s="9">
        <v>0.15</v>
      </c>
      <c r="R10" s="37">
        <f t="shared" si="0"/>
        <v>5.4</v>
      </c>
      <c r="S10" s="9">
        <v>8</v>
      </c>
      <c r="T10" s="37">
        <f t="shared" si="1"/>
        <v>6.7</v>
      </c>
    </row>
    <row r="11" spans="3:20" ht="15" thickBot="1" x14ac:dyDescent="0.4">
      <c r="C11" s="22" t="s">
        <v>11</v>
      </c>
      <c r="D11" s="7">
        <f>MIN(D5:D9)</f>
        <v>0</v>
      </c>
      <c r="E11" s="7">
        <f t="shared" ref="E11:G11" si="5">MIN(E5:E9)</f>
        <v>0</v>
      </c>
      <c r="F11" s="7">
        <f t="shared" si="5"/>
        <v>1</v>
      </c>
      <c r="G11" s="7">
        <f t="shared" si="5"/>
        <v>0</v>
      </c>
      <c r="H11" s="8">
        <f>MIN(H5:H9)</f>
        <v>1</v>
      </c>
      <c r="I11" s="8">
        <f>MIN(I5:I9)</f>
        <v>0.25</v>
      </c>
      <c r="L11" s="58"/>
      <c r="M11" s="32" t="s">
        <v>15</v>
      </c>
      <c r="N11" s="9">
        <v>1.75</v>
      </c>
      <c r="O11" s="9">
        <v>1.25</v>
      </c>
      <c r="P11" s="9">
        <v>0.75</v>
      </c>
      <c r="Q11" s="9">
        <v>2.5</v>
      </c>
      <c r="R11" s="37">
        <f t="shared" si="0"/>
        <v>6.25</v>
      </c>
      <c r="S11" s="9">
        <v>7.75</v>
      </c>
      <c r="T11" s="37">
        <f t="shared" si="1"/>
        <v>7</v>
      </c>
    </row>
    <row r="12" spans="3:20" ht="21" customHeight="1" x14ac:dyDescent="0.35">
      <c r="L12" s="58"/>
      <c r="M12" s="32" t="s">
        <v>16</v>
      </c>
      <c r="N12" s="9"/>
      <c r="O12" s="9"/>
      <c r="P12" s="9"/>
      <c r="Q12" s="9"/>
      <c r="R12" s="37">
        <f t="shared" si="0"/>
        <v>0</v>
      </c>
      <c r="S12" s="9">
        <v>6</v>
      </c>
      <c r="T12" s="37">
        <f t="shared" si="1"/>
        <v>3</v>
      </c>
    </row>
    <row r="13" spans="3:20" ht="28.5" customHeight="1" x14ac:dyDescent="0.35">
      <c r="C13" s="54" t="s">
        <v>12</v>
      </c>
      <c r="D13" s="56" t="s">
        <v>18</v>
      </c>
      <c r="E13" s="56"/>
      <c r="F13" s="56"/>
      <c r="G13" s="56"/>
      <c r="H13" s="56"/>
      <c r="I13" s="56"/>
      <c r="L13" s="58"/>
      <c r="M13" s="32" t="s">
        <v>17</v>
      </c>
      <c r="N13" s="9">
        <v>0.75</v>
      </c>
      <c r="O13" s="9">
        <v>0.25</v>
      </c>
      <c r="P13" s="9">
        <v>0.5</v>
      </c>
      <c r="Q13" s="9">
        <v>0.75</v>
      </c>
      <c r="R13" s="37">
        <f t="shared" si="0"/>
        <v>2.25</v>
      </c>
      <c r="S13" s="9">
        <v>4</v>
      </c>
      <c r="T13" s="37">
        <f t="shared" si="1"/>
        <v>3.125</v>
      </c>
    </row>
    <row r="14" spans="3:20" ht="15" thickBot="1" x14ac:dyDescent="0.4">
      <c r="C14" s="55"/>
      <c r="D14" s="18" t="s">
        <v>2</v>
      </c>
      <c r="E14" s="18" t="s">
        <v>21</v>
      </c>
      <c r="F14" s="18" t="s">
        <v>19</v>
      </c>
      <c r="G14" s="18" t="s">
        <v>20</v>
      </c>
      <c r="H14" s="18" t="s">
        <v>3</v>
      </c>
      <c r="I14" s="18" t="s">
        <v>4</v>
      </c>
      <c r="L14" s="59"/>
      <c r="M14" s="23" t="s">
        <v>22</v>
      </c>
      <c r="N14" s="9">
        <v>2.25</v>
      </c>
      <c r="O14" s="9">
        <v>2.5</v>
      </c>
      <c r="P14" s="9">
        <v>0.5</v>
      </c>
      <c r="Q14" s="9">
        <v>0.75</v>
      </c>
      <c r="R14" s="37">
        <f t="shared" si="0"/>
        <v>6</v>
      </c>
      <c r="S14" s="9">
        <v>8.75</v>
      </c>
      <c r="T14" s="37">
        <f t="shared" si="1"/>
        <v>7.375</v>
      </c>
    </row>
    <row r="15" spans="3:20" x14ac:dyDescent="0.35">
      <c r="C15" s="23" t="s">
        <v>13</v>
      </c>
      <c r="D15" s="9">
        <v>0</v>
      </c>
      <c r="E15" s="9">
        <v>2</v>
      </c>
      <c r="F15" s="9">
        <v>0</v>
      </c>
      <c r="G15" s="9">
        <v>0</v>
      </c>
      <c r="H15" s="9">
        <f>SUM(D15:G15)</f>
        <v>2</v>
      </c>
      <c r="I15" s="9">
        <f>AVERAGE(D15:G15)</f>
        <v>0.5</v>
      </c>
      <c r="O15" s="3"/>
    </row>
    <row r="16" spans="3:20" x14ac:dyDescent="0.35">
      <c r="C16" s="23" t="s">
        <v>14</v>
      </c>
      <c r="D16" s="9">
        <v>0</v>
      </c>
      <c r="E16" s="9">
        <v>2</v>
      </c>
      <c r="F16" s="9">
        <v>4</v>
      </c>
      <c r="G16" s="9">
        <v>8</v>
      </c>
      <c r="H16" s="9">
        <f t="shared" ref="H16:H20" si="6">SUM(D16:G16)</f>
        <v>14</v>
      </c>
      <c r="I16" s="9">
        <f t="shared" ref="I16:I20" si="7">AVERAGE(D16:G16)</f>
        <v>3.5</v>
      </c>
    </row>
    <row r="17" spans="3:20" x14ac:dyDescent="0.35">
      <c r="C17" s="23" t="s">
        <v>15</v>
      </c>
      <c r="D17" s="9">
        <v>0</v>
      </c>
      <c r="E17" s="9">
        <v>0</v>
      </c>
      <c r="F17" s="9">
        <v>0</v>
      </c>
      <c r="G17" s="9">
        <v>0</v>
      </c>
      <c r="H17" s="9">
        <f t="shared" si="6"/>
        <v>0</v>
      </c>
      <c r="I17" s="9">
        <f t="shared" si="7"/>
        <v>0</v>
      </c>
      <c r="M17" s="28" t="s">
        <v>4</v>
      </c>
      <c r="N17" s="36">
        <f>AVERAGE(N4:N14)</f>
        <v>1.7222222222222223</v>
      </c>
      <c r="O17" s="36">
        <f t="shared" ref="O17:T17" si="8">AVERAGE(O4:O14)</f>
        <v>1.338888888888889</v>
      </c>
      <c r="P17" s="36">
        <f t="shared" si="8"/>
        <v>0.94444444444444442</v>
      </c>
      <c r="Q17" s="36">
        <f t="shared" si="8"/>
        <v>1.3222222222222222</v>
      </c>
      <c r="R17" s="36">
        <f t="shared" si="8"/>
        <v>4.3590909090909093</v>
      </c>
      <c r="S17" s="36">
        <f t="shared" si="8"/>
        <v>6.9090909090909092</v>
      </c>
      <c r="T17" s="36">
        <f t="shared" si="8"/>
        <v>5.6340909090909088</v>
      </c>
    </row>
    <row r="18" spans="3:20" x14ac:dyDescent="0.35">
      <c r="C18" s="23" t="s">
        <v>16</v>
      </c>
      <c r="D18" s="9">
        <v>1</v>
      </c>
      <c r="E18" s="9">
        <v>2</v>
      </c>
      <c r="F18" s="9">
        <v>3</v>
      </c>
      <c r="G18" s="9">
        <v>1</v>
      </c>
      <c r="H18" s="9">
        <f t="shared" si="6"/>
        <v>7</v>
      </c>
      <c r="I18" s="9">
        <f t="shared" si="7"/>
        <v>1.75</v>
      </c>
      <c r="M18" s="28" t="s">
        <v>35</v>
      </c>
      <c r="N18" s="9">
        <f>MAX(N4:N14)</f>
        <v>2.5</v>
      </c>
      <c r="O18" s="9">
        <f t="shared" ref="O18:T18" si="9">MAX(O4:O14)</f>
        <v>2.5</v>
      </c>
      <c r="P18" s="9">
        <f t="shared" si="9"/>
        <v>2.5</v>
      </c>
      <c r="Q18" s="9">
        <f t="shared" si="9"/>
        <v>2.5</v>
      </c>
      <c r="R18" s="9">
        <f t="shared" si="9"/>
        <v>9.3000000000000007</v>
      </c>
      <c r="S18" s="9">
        <f t="shared" si="9"/>
        <v>8.75</v>
      </c>
      <c r="T18" s="9">
        <f t="shared" si="9"/>
        <v>8.9</v>
      </c>
    </row>
    <row r="19" spans="3:20" x14ac:dyDescent="0.35">
      <c r="C19" s="23" t="s">
        <v>17</v>
      </c>
      <c r="D19" s="9">
        <v>4</v>
      </c>
      <c r="E19" s="9">
        <v>0</v>
      </c>
      <c r="F19" s="9">
        <v>0</v>
      </c>
      <c r="G19" s="9">
        <v>0</v>
      </c>
      <c r="H19" s="9">
        <f t="shared" si="6"/>
        <v>4</v>
      </c>
      <c r="I19" s="9">
        <f t="shared" si="7"/>
        <v>1</v>
      </c>
      <c r="M19" s="28" t="s">
        <v>36</v>
      </c>
      <c r="N19" s="36">
        <f>MIN(N4:N14)</f>
        <v>0.25</v>
      </c>
      <c r="O19" s="36">
        <f t="shared" ref="O19:T19" si="10">MIN(O4:O14)</f>
        <v>0.25</v>
      </c>
      <c r="P19" s="36">
        <f t="shared" si="10"/>
        <v>0.25</v>
      </c>
      <c r="Q19" s="36">
        <f t="shared" si="10"/>
        <v>0.15</v>
      </c>
      <c r="R19" s="36">
        <f t="shared" si="10"/>
        <v>0</v>
      </c>
      <c r="S19" s="36">
        <f t="shared" si="10"/>
        <v>4</v>
      </c>
      <c r="T19" s="36">
        <f t="shared" si="10"/>
        <v>3</v>
      </c>
    </row>
    <row r="20" spans="3:20" ht="29.5" thickBot="1" x14ac:dyDescent="0.4">
      <c r="C20" s="24" t="s">
        <v>22</v>
      </c>
      <c r="D20" s="10">
        <v>1</v>
      </c>
      <c r="E20" s="10">
        <v>1</v>
      </c>
      <c r="F20" s="10">
        <v>0</v>
      </c>
      <c r="G20" s="10">
        <v>2</v>
      </c>
      <c r="H20" s="9">
        <f t="shared" si="6"/>
        <v>4</v>
      </c>
      <c r="I20" s="9">
        <f t="shared" si="7"/>
        <v>1</v>
      </c>
      <c r="M20" s="29" t="s">
        <v>37</v>
      </c>
      <c r="N20" s="9">
        <f>COUNT(R4:R14)</f>
        <v>11</v>
      </c>
    </row>
    <row r="21" spans="3:20" x14ac:dyDescent="0.35">
      <c r="C21" s="25" t="s">
        <v>10</v>
      </c>
      <c r="D21" s="11">
        <f>MAX(D15:D20)</f>
        <v>4</v>
      </c>
      <c r="E21" s="11">
        <f t="shared" ref="E21:I21" si="11">MAX(E15:E20)</f>
        <v>2</v>
      </c>
      <c r="F21" s="11">
        <f t="shared" si="11"/>
        <v>4</v>
      </c>
      <c r="G21" s="11">
        <f t="shared" si="11"/>
        <v>8</v>
      </c>
      <c r="H21" s="11">
        <f t="shared" si="11"/>
        <v>14</v>
      </c>
      <c r="I21" s="11">
        <f t="shared" si="11"/>
        <v>3.5</v>
      </c>
    </row>
    <row r="22" spans="3:20" ht="15" thickBot="1" x14ac:dyDescent="0.4">
      <c r="C22" s="26" t="s">
        <v>11</v>
      </c>
      <c r="D22" s="13">
        <f>MIN(D15:D20)</f>
        <v>0</v>
      </c>
      <c r="E22" s="13">
        <f t="shared" ref="E22:I22" si="12">MIN(E15:E20)</f>
        <v>0</v>
      </c>
      <c r="F22" s="13">
        <f t="shared" si="12"/>
        <v>0</v>
      </c>
      <c r="G22" s="13">
        <f t="shared" si="12"/>
        <v>0</v>
      </c>
      <c r="H22" s="13">
        <f t="shared" si="12"/>
        <v>0</v>
      </c>
      <c r="I22" s="13">
        <f t="shared" si="12"/>
        <v>0</v>
      </c>
    </row>
    <row r="23" spans="3:20" ht="15" thickBot="1" x14ac:dyDescent="0.4"/>
    <row r="24" spans="3:20" x14ac:dyDescent="0.35">
      <c r="C24" s="11" t="s">
        <v>24</v>
      </c>
      <c r="D24" s="12">
        <f>SUM(H5:H9,H15:H20)</f>
        <v>82</v>
      </c>
    </row>
    <row r="25" spans="3:20" ht="15" thickBot="1" x14ac:dyDescent="0.4">
      <c r="C25" s="13" t="s">
        <v>23</v>
      </c>
      <c r="D25" s="27">
        <f>AVERAGE(I5:I9,I15:I20)</f>
        <v>1.8636363636363635</v>
      </c>
    </row>
  </sheetData>
  <mergeCells count="7">
    <mergeCell ref="N2:T2"/>
    <mergeCell ref="D3:I3"/>
    <mergeCell ref="C3:C4"/>
    <mergeCell ref="C13:C14"/>
    <mergeCell ref="D13:I13"/>
    <mergeCell ref="L4:L8"/>
    <mergeCell ref="L9:L14"/>
  </mergeCells>
  <conditionalFormatting sqref="R4:R14">
    <cfRule type="cellIs" dxfId="0" priority="1" operator="less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027D-12C3-4CEB-A5C7-4A9294D15E0C}">
  <dimension ref="A1:H10"/>
  <sheetViews>
    <sheetView workbookViewId="0">
      <selection activeCell="F16" sqref="F16"/>
    </sheetView>
  </sheetViews>
  <sheetFormatPr defaultRowHeight="14.5" x14ac:dyDescent="0.35"/>
  <cols>
    <col min="2" max="2" width="7.08984375" customWidth="1"/>
    <col min="3" max="3" width="6.81640625" customWidth="1"/>
    <col min="4" max="4" width="7.08984375" customWidth="1"/>
    <col min="5" max="5" width="6.6328125" customWidth="1"/>
    <col min="6" max="6" width="7.36328125" customWidth="1"/>
    <col min="7" max="7" width="6.90625" customWidth="1"/>
  </cols>
  <sheetData>
    <row r="1" spans="1:8" ht="15" thickBot="1" x14ac:dyDescent="0.4"/>
    <row r="2" spans="1:8" x14ac:dyDescent="0.35">
      <c r="A2" s="11"/>
      <c r="B2" s="60" t="s">
        <v>38</v>
      </c>
      <c r="C2" s="61"/>
      <c r="D2" s="62" t="s">
        <v>39</v>
      </c>
      <c r="E2" s="63"/>
      <c r="F2" s="64" t="s">
        <v>40</v>
      </c>
      <c r="G2" s="61"/>
      <c r="H2" s="65" t="s">
        <v>3</v>
      </c>
    </row>
    <row r="3" spans="1:8" x14ac:dyDescent="0.35">
      <c r="A3" s="38"/>
      <c r="B3" s="42" t="s">
        <v>41</v>
      </c>
      <c r="C3" s="45" t="s">
        <v>42</v>
      </c>
      <c r="D3" s="46" t="s">
        <v>41</v>
      </c>
      <c r="E3" s="46" t="s">
        <v>43</v>
      </c>
      <c r="F3" s="47" t="s">
        <v>41</v>
      </c>
      <c r="G3" s="43" t="s">
        <v>43</v>
      </c>
      <c r="H3" s="66"/>
    </row>
    <row r="4" spans="1:8" x14ac:dyDescent="0.35">
      <c r="A4" s="39" t="s">
        <v>44</v>
      </c>
      <c r="B4" s="9">
        <v>32</v>
      </c>
      <c r="C4" s="44">
        <v>250</v>
      </c>
      <c r="D4" s="44">
        <v>12</v>
      </c>
      <c r="E4" s="44">
        <v>315</v>
      </c>
      <c r="F4" s="44">
        <v>16</v>
      </c>
      <c r="G4" s="9">
        <v>797</v>
      </c>
      <c r="H4" s="40"/>
    </row>
    <row r="5" spans="1:8" x14ac:dyDescent="0.35">
      <c r="A5" s="39" t="s">
        <v>45</v>
      </c>
      <c r="B5" s="9">
        <v>45</v>
      </c>
      <c r="C5" s="9">
        <v>236</v>
      </c>
      <c r="D5" s="9">
        <v>17</v>
      </c>
      <c r="E5" s="9">
        <v>296</v>
      </c>
      <c r="F5" s="9">
        <v>20</v>
      </c>
      <c r="G5" s="9">
        <v>780</v>
      </c>
      <c r="H5" s="40"/>
    </row>
    <row r="6" spans="1:8" ht="15" thickBot="1" x14ac:dyDescent="0.4">
      <c r="A6" s="41" t="s">
        <v>46</v>
      </c>
      <c r="B6" s="14">
        <v>53</v>
      </c>
      <c r="C6" s="14">
        <v>215</v>
      </c>
      <c r="D6" s="14">
        <v>22</v>
      </c>
      <c r="E6" s="14">
        <v>285</v>
      </c>
      <c r="F6" s="14">
        <v>32</v>
      </c>
      <c r="G6" s="14">
        <v>761</v>
      </c>
      <c r="H6" s="15"/>
    </row>
    <row r="10" spans="1:8" x14ac:dyDescent="0.35">
      <c r="H10" s="48"/>
    </row>
  </sheetData>
  <mergeCells count="4">
    <mergeCell ref="B2:C2"/>
    <mergeCell ref="D2:E2"/>
    <mergeCell ref="F2:G2"/>
    <mergeCell ref="H2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Dayanis Caballero</cp:lastModifiedBy>
  <dcterms:created xsi:type="dcterms:W3CDTF">2024-03-27T18:52:04Z</dcterms:created>
  <dcterms:modified xsi:type="dcterms:W3CDTF">2024-06-19T19:04:06Z</dcterms:modified>
</cp:coreProperties>
</file>